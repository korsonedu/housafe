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720" activeTab="2"/>
  </bookViews>
  <sheets>
    <sheet name="1.指标假设" sheetId="1" r:id="rId1"/>
    <sheet name="2.销售与收入" sheetId="2" r:id="rId2"/>
    <sheet name="3.成本费用" sheetId="3" r:id="rId3"/>
    <sheet name="4.利润表" sheetId="4" r:id="rId4"/>
    <sheet name="5.单位经济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<sst xmlns="http://schemas.openxmlformats.org/spreadsheetml/2006/main" count="113" uniqueCount="83">
  <si>
    <t>财务模型</t>
  </si>
  <si>
    <t>装机量</t>
  </si>
  <si>
    <t>Y1</t>
  </si>
  <si>
    <t>Y2</t>
  </si>
  <si>
    <t>Y3</t>
  </si>
  <si>
    <t>年末累计装机（户）</t>
  </si>
  <si>
    <t>SKU 定价与降本路线</t>
  </si>
  <si>
    <t>尝鲜</t>
  </si>
  <si>
    <t>全屋S</t>
  </si>
  <si>
    <t>全屋L</t>
  </si>
  <si>
    <t>零售价（元）</t>
  </si>
  <si>
    <t>初期 BOM（元）Y1</t>
  </si>
  <si>
    <t>销量占比</t>
  </si>
  <si>
    <t>加权 ASP（元）</t>
  </si>
  <si>
    <t>加权 BOM Y1（元）</t>
  </si>
  <si>
    <t>降本后加权 BOM（元/台）</t>
  </si>
  <si>
    <t>单台硬件毛利（元）</t>
  </si>
  <si>
    <t>硬件毛利率</t>
  </si>
  <si>
    <t>订阅参数</t>
  </si>
  <si>
    <t>参数</t>
  </si>
  <si>
    <t>值</t>
  </si>
  <si>
    <t>订阅价（元/年）</t>
  </si>
  <si>
    <t>转化率</t>
  </si>
  <si>
    <t>续费率</t>
  </si>
  <si>
    <t>云免费层（元/户/年）</t>
  </si>
  <si>
    <t>云付费层（元/户/年）</t>
  </si>
  <si>
    <t>CAC早期（元）</t>
  </si>
  <si>
    <t>CAC降本后（元）</t>
  </si>
  <si>
    <t>费用驱动参数</t>
  </si>
  <si>
    <t>团队人数（不含创始人）</t>
  </si>
  <si>
    <t>人均年薪（万元）</t>
  </si>
  <si>
    <t>创始人年薪（万元）</t>
  </si>
  <si>
    <t>人力合计（万元）</t>
  </si>
  <si>
    <t>办公行政（万元）</t>
  </si>
  <si>
    <t>GPU 云月费（万元）</t>
  </si>
  <si>
    <t>DB 云月费（万元）</t>
  </si>
  <si>
    <t>设备采购（万元）</t>
  </si>
  <si>
    <t>销售与收入</t>
  </si>
  <si>
    <t>硬件收入</t>
  </si>
  <si>
    <t>累计装机（户）</t>
  </si>
  <si>
    <t>新增装机（户）</t>
  </si>
  <si>
    <t>硬件收入（万元）</t>
  </si>
  <si>
    <t>订阅收入</t>
  </si>
  <si>
    <t>新增订阅户</t>
  </si>
  <si>
    <t>续费订阅户</t>
  </si>
  <si>
    <t>活跃订阅户</t>
  </si>
  <si>
    <t>订阅收入（万元）</t>
  </si>
  <si>
    <t>总收入（万元）</t>
  </si>
  <si>
    <t>成本费用</t>
  </si>
  <si>
    <t>营业成本</t>
  </si>
  <si>
    <t>加权 BOM（元）</t>
  </si>
  <si>
    <t>硬件 BOM 成本（万元）</t>
  </si>
  <si>
    <t>免费用户数</t>
  </si>
  <si>
    <t>云成本合计（万元）</t>
  </si>
  <si>
    <t>营业成本合计（万元）</t>
  </si>
  <si>
    <t>运营费用</t>
  </si>
  <si>
    <t>人力成本</t>
  </si>
  <si>
    <t>办公行政</t>
  </si>
  <si>
    <t>GPU云（月费x12）</t>
  </si>
  <si>
    <t>DB云（月费x12）</t>
  </si>
  <si>
    <t>设备采购</t>
  </si>
  <si>
    <t>运营费用合计（万元）</t>
  </si>
  <si>
    <t>利润表（万元）</t>
  </si>
  <si>
    <t>总收入</t>
  </si>
  <si>
    <t>毛利</t>
  </si>
  <si>
    <t>毛利率</t>
  </si>
  <si>
    <t>净利润</t>
  </si>
  <si>
    <t>净利率</t>
  </si>
  <si>
    <t>单位经济</t>
  </si>
  <si>
    <t>LTV / CAC</t>
  </si>
  <si>
    <t>降本前 (BOM 425)</t>
  </si>
  <si>
    <t>降本后 (BOM 100)</t>
  </si>
  <si>
    <t>硬件 ASP（元）</t>
  </si>
  <si>
    <t>硬件 BOM（元）</t>
  </si>
  <si>
    <t>单台毛利（元）</t>
  </si>
  <si>
    <t>订阅 ARPU（元/年）</t>
  </si>
  <si>
    <t>3年订阅 LTV（元）</t>
  </si>
  <si>
    <t>3年总 LTV（元）</t>
  </si>
  <si>
    <t>CAC（元）</t>
  </si>
  <si>
    <t>敏感性：转化率对 LTV/CAC 的影响</t>
  </si>
  <si>
    <t>订阅 LTV（元）</t>
  </si>
  <si>
    <t>降本前 LTV/CAC</t>
  </si>
  <si>
    <t>降本后 LTV/CAC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</si>
</sst>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5">
    <font>
      <sz val="11"/>
      <color theme="1"/>
      <name val="宋体"/>
      <charset val="134"/>
      <scheme val="minor"/>
    </font>
    <font>
      <b/>
      <sz val="14"/>
      <color rgb="FF002FA7"/>
      <name val="宋体-简"/>
      <charset val="134"/>
    </font>
    <font>
      <b/>
      <sz val="12"/>
      <color rgb="FF002FA7"/>
      <name val="Helvetica Neue"/>
      <charset val="134"/>
    </font>
    <font>
      <b/>
      <sz val="10"/>
      <color rgb="FFFFFFFF"/>
      <name val="Helvetica Neue"/>
      <charset val="134"/>
    </font>
    <font>
      <sz val="10"/>
      <name val="Helvetica Neue"/>
      <charset val="134"/>
    </font>
    <font>
      <b/>
      <sz val="1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FA7"/>
        <bgColor rgb="FF002FA7"/>
      </patternFill>
    </fill>
    <fill>
      <patternFill patternType="solid">
        <fgColor rgb="FFE8EAF6"/>
        <bgColor rgb="FFE8EAF6"/>
      </patternFill>
    </fill>
    <fill>
      <patternFill patternType="solid">
        <fgColor rgb="FFFFF3CD"/>
        <bgColor rgb="FFFFF3CD"/>
      </patternFill>
    </fill>
    <fill>
      <patternFill patternType="solid">
        <fgColor rgb="FFE8F5E9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medium">
        <color rgb="FF002FA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left" vertical="center"/>
    </xf>
    <xf numFmtId="176" fontId="5" fillId="0" borderId="1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6" fontId="5" fillId="0" borderId="2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right" vertical="center"/>
    </xf>
    <xf numFmtId="0" fontId="5" fillId="3" borderId="0" xfId="0" applyFont="1" applyFill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right" vertical="center"/>
    </xf>
    <xf numFmtId="177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177" fontId="5" fillId="3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2FA7"/>
  </sheetPr>
  <dimension ref="A1:D37"/>
  <sheetViews>
    <sheetView workbookViewId="0">
      <selection activeCell="A1" sqref="A1:D1"/>
    </sheetView>
  </sheetViews>
  <sheetFormatPr defaultColWidth="9" defaultRowHeight="16.8" outlineLevelCol="3"/>
  <cols>
    <col min="1" max="1" width="30" customWidth="1"/>
    <col min="2" max="4" width="24.1923076923077" customWidth="1"/>
  </cols>
  <sheetData>
    <row r="1" ht="20.4" spans="1:4">
      <c r="A1" s="1" t="s">
        <v>0</v>
      </c>
    </row>
    <row r="3" ht="17.6" spans="1:4">
      <c r="A3" s="2" t="s">
        <v>1</v>
      </c>
    </row>
    <row r="4" spans="1:4">
      <c r="A4" s="3"/>
      <c r="B4" s="3" t="s">
        <v>2</v>
      </c>
      <c r="C4" s="3" t="s">
        <v>3</v>
      </c>
      <c r="D4" s="3" t="s">
        <v>4</v>
      </c>
    </row>
    <row r="5" spans="1:4">
      <c r="A5" s="15" t="s">
        <v>5</v>
      </c>
      <c r="B5" s="16">
        <v>1000</v>
      </c>
      <c r="C5" s="16">
        <v>5000</v>
      </c>
      <c r="D5" s="16">
        <v>15000</v>
      </c>
    </row>
    <row r="7" ht="17.6" spans="1:4">
      <c r="A7" s="2" t="s">
        <v>6</v>
      </c>
    </row>
    <row r="8" spans="1:4">
      <c r="A8" s="3"/>
      <c r="B8" s="3" t="s">
        <v>7</v>
      </c>
      <c r="C8" s="3" t="s">
        <v>8</v>
      </c>
      <c r="D8" s="3" t="s">
        <v>9</v>
      </c>
    </row>
    <row r="9" spans="1:4">
      <c r="A9" s="15" t="s">
        <v>10</v>
      </c>
      <c r="B9" s="16">
        <v>299</v>
      </c>
      <c r="C9" s="16">
        <v>499</v>
      </c>
      <c r="D9" s="16">
        <v>799</v>
      </c>
    </row>
    <row r="10" spans="1:4">
      <c r="A10" s="15" t="s">
        <v>11</v>
      </c>
      <c r="B10" s="16">
        <v>170</v>
      </c>
      <c r="C10" s="16">
        <v>320</v>
      </c>
      <c r="D10" s="16">
        <v>620</v>
      </c>
    </row>
    <row r="11" spans="1:4">
      <c r="A11" s="15" t="s">
        <v>12</v>
      </c>
      <c r="B11" s="17">
        <v>0.1</v>
      </c>
      <c r="C11" s="17">
        <v>0.5</v>
      </c>
      <c r="D11" s="17">
        <v>0.4</v>
      </c>
    </row>
    <row r="12" spans="1:4">
      <c r="A12" s="11" t="s">
        <v>13</v>
      </c>
      <c r="B12" s="18">
        <f>SUMPRODUCT(B9:D9,B11:D11)</f>
        <v>599</v>
      </c>
      <c r="C12" s="18"/>
      <c r="D12" s="18"/>
    </row>
    <row r="13" spans="1:4">
      <c r="A13" s="11" t="s">
        <v>14</v>
      </c>
      <c r="B13" s="18">
        <f>SUMPRODUCT(B10:D10,B11:D11)</f>
        <v>425</v>
      </c>
      <c r="C13" s="18"/>
      <c r="D13" s="18"/>
    </row>
    <row r="14" spans="1:4">
      <c r="A14" s="19" t="s">
        <v>15</v>
      </c>
      <c r="B14" s="20">
        <v>425</v>
      </c>
      <c r="C14" s="20">
        <v>100</v>
      </c>
      <c r="D14" s="20">
        <v>60</v>
      </c>
    </row>
    <row r="15" spans="1:4">
      <c r="A15" s="11" t="s">
        <v>16</v>
      </c>
      <c r="B15" s="18">
        <f>B12-B14</f>
        <v>174</v>
      </c>
      <c r="C15" s="18">
        <f>B12-C14</f>
        <v>499</v>
      </c>
      <c r="D15" s="18">
        <f>B12-D14</f>
        <v>539</v>
      </c>
    </row>
    <row r="16" spans="1:4">
      <c r="A16" s="11" t="s">
        <v>17</v>
      </c>
      <c r="B16" s="21">
        <f>B15/B12</f>
        <v>0.290484140233723</v>
      </c>
      <c r="C16" s="21">
        <f>C15/B12</f>
        <v>0.833055091819699</v>
      </c>
      <c r="D16" s="21">
        <f>D15/B12</f>
        <v>0.89983305509182</v>
      </c>
    </row>
    <row r="18" ht="17.6" spans="1:4">
      <c r="A18" s="2" t="s">
        <v>18</v>
      </c>
    </row>
    <row r="19" spans="1:4">
      <c r="A19" s="3" t="s">
        <v>19</v>
      </c>
      <c r="B19" s="3" t="s">
        <v>20</v>
      </c>
      <c r="C19" s="3"/>
      <c r="D19" s="3"/>
    </row>
    <row r="20" spans="1:4">
      <c r="A20" s="15" t="s">
        <v>21</v>
      </c>
      <c r="B20" s="16">
        <v>199</v>
      </c>
      <c r="C20" s="16"/>
      <c r="D20" s="16"/>
    </row>
    <row r="21" spans="1:4">
      <c r="A21" s="15" t="s">
        <v>22</v>
      </c>
      <c r="B21" s="17">
        <v>0.2</v>
      </c>
      <c r="C21" s="16"/>
      <c r="D21" s="16"/>
    </row>
    <row r="22" spans="1:4">
      <c r="A22" s="15" t="s">
        <v>23</v>
      </c>
      <c r="B22" s="17">
        <v>0.7</v>
      </c>
      <c r="C22" s="16"/>
      <c r="D22" s="16"/>
    </row>
    <row r="23" spans="1:4">
      <c r="A23" s="15" t="s">
        <v>24</v>
      </c>
      <c r="B23" s="16">
        <v>12</v>
      </c>
      <c r="C23" s="16"/>
      <c r="D23" s="16"/>
    </row>
    <row r="24" spans="1:4">
      <c r="A24" s="15" t="s">
        <v>25</v>
      </c>
      <c r="B24" s="16">
        <v>45</v>
      </c>
      <c r="C24" s="16"/>
      <c r="D24" s="16"/>
    </row>
    <row r="25" spans="1:4">
      <c r="A25" s="15" t="s">
        <v>26</v>
      </c>
      <c r="B25" s="16">
        <v>300</v>
      </c>
      <c r="C25" s="16"/>
      <c r="D25" s="16"/>
    </row>
    <row r="26" spans="1:4">
      <c r="A26" s="15" t="s">
        <v>27</v>
      </c>
      <c r="B26" s="16">
        <v>250</v>
      </c>
      <c r="C26" s="16"/>
      <c r="D26" s="16"/>
    </row>
    <row r="28" ht="17.6" spans="1:4">
      <c r="A28" s="2" t="s">
        <v>28</v>
      </c>
    </row>
    <row r="29" spans="1:4">
      <c r="A29" s="3" t="s">
        <v>19</v>
      </c>
      <c r="B29" s="3" t="s">
        <v>2</v>
      </c>
      <c r="C29" s="3" t="s">
        <v>3</v>
      </c>
      <c r="D29" s="3" t="s">
        <v>4</v>
      </c>
    </row>
    <row r="30" spans="1:4">
      <c r="A30" s="15" t="s">
        <v>29</v>
      </c>
      <c r="B30" s="16">
        <v>5</v>
      </c>
      <c r="C30" s="16">
        <v>8</v>
      </c>
      <c r="D30" s="16">
        <v>12</v>
      </c>
    </row>
    <row r="31" spans="1:4">
      <c r="A31" s="15" t="s">
        <v>30</v>
      </c>
      <c r="B31" s="16">
        <v>30</v>
      </c>
      <c r="C31" s="16">
        <v>30</v>
      </c>
      <c r="D31" s="16">
        <v>30</v>
      </c>
    </row>
    <row r="32" spans="1:4">
      <c r="A32" s="15" t="s">
        <v>31</v>
      </c>
      <c r="B32" s="16">
        <v>25</v>
      </c>
      <c r="C32" s="16">
        <v>30</v>
      </c>
      <c r="D32" s="16">
        <v>35</v>
      </c>
    </row>
    <row r="33" spans="1:4">
      <c r="A33" s="11" t="s">
        <v>32</v>
      </c>
      <c r="B33" s="18">
        <f>B30*B31+B32</f>
        <v>175</v>
      </c>
      <c r="C33" s="18">
        <f>C30*C31+C32</f>
        <v>270</v>
      </c>
      <c r="D33" s="18">
        <f>D30*D31+D32</f>
        <v>395</v>
      </c>
    </row>
    <row r="34" spans="1:4">
      <c r="A34" s="15" t="s">
        <v>33</v>
      </c>
      <c r="B34" s="16">
        <v>20</v>
      </c>
      <c r="C34" s="16">
        <v>30</v>
      </c>
      <c r="D34" s="16">
        <v>50</v>
      </c>
    </row>
    <row r="35" spans="1:4">
      <c r="A35" s="15" t="s">
        <v>34</v>
      </c>
      <c r="B35" s="16">
        <v>0.8</v>
      </c>
      <c r="C35" s="16">
        <v>4</v>
      </c>
      <c r="D35" s="16">
        <v>8</v>
      </c>
    </row>
    <row r="36" spans="1:4">
      <c r="A36" s="15" t="s">
        <v>35</v>
      </c>
      <c r="B36" s="16">
        <v>0.25</v>
      </c>
      <c r="C36" s="16">
        <v>0.8</v>
      </c>
      <c r="D36" s="16">
        <v>1.7</v>
      </c>
    </row>
    <row r="37" spans="1:4">
      <c r="A37" s="15" t="s">
        <v>36</v>
      </c>
      <c r="B37" s="16">
        <v>10</v>
      </c>
      <c r="C37" s="16">
        <v>30</v>
      </c>
      <c r="D37" s="16">
        <v>40</v>
      </c>
    </row>
  </sheetData>
  <mergeCells count="5">
    <mergeCell ref="A1:D1"/>
    <mergeCell ref="A3:D3"/>
    <mergeCell ref="A7:D7"/>
    <mergeCell ref="A18:D18"/>
    <mergeCell ref="A28:D2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A6FB5"/>
  </sheetPr>
  <dimension ref="A1:D18"/>
  <sheetViews>
    <sheetView zoomScale="146" zoomScaleNormal="146" workbookViewId="0">
      <selection activeCell="B15" sqref="B15"/>
    </sheetView>
  </sheetViews>
  <sheetFormatPr defaultColWidth="9" defaultRowHeight="16.8" outlineLevelCol="3"/>
  <cols>
    <col min="1" max="1" width="28" customWidth="1"/>
    <col min="2" max="4" width="23.7211538461538" customWidth="1"/>
  </cols>
  <sheetData>
    <row r="1" ht="20.4" spans="1:4">
      <c r="A1" s="1" t="s">
        <v>37</v>
      </c>
    </row>
    <row r="3" ht="17.6" spans="1:4">
      <c r="A3" s="2" t="s">
        <v>38</v>
      </c>
    </row>
    <row r="4" spans="1:4">
      <c r="A4" s="3"/>
      <c r="B4" s="3" t="s">
        <v>2</v>
      </c>
      <c r="C4" s="3" t="s">
        <v>3</v>
      </c>
      <c r="D4" s="3" t="s">
        <v>4</v>
      </c>
    </row>
    <row r="5" spans="1:4">
      <c r="A5" s="4" t="s">
        <v>39</v>
      </c>
      <c r="B5" s="5">
        <f>'1.指标假设'!B5</f>
        <v>1000</v>
      </c>
      <c r="C5" s="5">
        <f>'1.指标假设'!C5</f>
        <v>5000</v>
      </c>
      <c r="D5" s="5">
        <f>'1.指标假设'!D5</f>
        <v>15000</v>
      </c>
    </row>
    <row r="6" spans="1:4">
      <c r="A6" s="4" t="s">
        <v>40</v>
      </c>
      <c r="B6" s="5">
        <f>B5</f>
        <v>1000</v>
      </c>
      <c r="C6" s="5">
        <f>C5-B5</f>
        <v>4000</v>
      </c>
      <c r="D6" s="5">
        <f>D5-C5</f>
        <v>10000</v>
      </c>
    </row>
    <row r="7" spans="1:4">
      <c r="A7" s="4" t="s">
        <v>13</v>
      </c>
      <c r="B7" s="5">
        <f>'1.指标假设'!B12</f>
        <v>599</v>
      </c>
      <c r="C7" s="5">
        <f>'1.指标假设'!B12</f>
        <v>599</v>
      </c>
      <c r="D7" s="5">
        <f>'1.指标假设'!B12</f>
        <v>599</v>
      </c>
    </row>
    <row r="8" spans="1:4">
      <c r="A8" s="12" t="s">
        <v>41</v>
      </c>
      <c r="B8" s="8">
        <f>B6*B7/10000</f>
        <v>59.9</v>
      </c>
      <c r="C8" s="8">
        <f>C6*C7/10000</f>
        <v>239.6</v>
      </c>
      <c r="D8" s="8">
        <f>D6*D7/10000</f>
        <v>599</v>
      </c>
    </row>
    <row r="10" ht="17.6" spans="1:4">
      <c r="A10" s="2" t="s">
        <v>42</v>
      </c>
    </row>
    <row r="11" spans="1:4">
      <c r="A11" s="3"/>
      <c r="B11" s="3" t="s">
        <v>2</v>
      </c>
      <c r="C11" s="3" t="s">
        <v>3</v>
      </c>
      <c r="D11" s="3" t="s">
        <v>4</v>
      </c>
    </row>
    <row r="12" spans="1:4">
      <c r="A12" s="4" t="s">
        <v>43</v>
      </c>
      <c r="B12" s="5">
        <f>B6*'1.指标假设'!B21</f>
        <v>200</v>
      </c>
      <c r="C12" s="5">
        <f>C6*'1.指标假设'!B21</f>
        <v>800</v>
      </c>
      <c r="D12" s="5">
        <f>D6*'1.指标假设'!B21</f>
        <v>2000</v>
      </c>
    </row>
    <row r="13" spans="1:4">
      <c r="A13" s="4" t="s">
        <v>44</v>
      </c>
      <c r="B13" s="5">
        <v>0</v>
      </c>
      <c r="C13" s="5">
        <f>B14*'1.指标假设'!B22</f>
        <v>140</v>
      </c>
      <c r="D13" s="5">
        <f>C14*'1.指标假设'!B22</f>
        <v>658</v>
      </c>
    </row>
    <row r="14" spans="1:4">
      <c r="A14" s="12" t="s">
        <v>45</v>
      </c>
      <c r="B14" s="13">
        <f>B12+B13</f>
        <v>200</v>
      </c>
      <c r="C14" s="13">
        <f>C12+C13</f>
        <v>940</v>
      </c>
      <c r="D14" s="13">
        <f>D12+D13</f>
        <v>2658</v>
      </c>
    </row>
    <row r="15" spans="1:4">
      <c r="A15" s="4" t="s">
        <v>21</v>
      </c>
      <c r="B15" s="5">
        <f>'1.指标假设'!B20</f>
        <v>199</v>
      </c>
      <c r="C15" s="5">
        <f>'1.指标假设'!B20</f>
        <v>199</v>
      </c>
      <c r="D15" s="5">
        <f>'1.指标假设'!B20</f>
        <v>199</v>
      </c>
    </row>
    <row r="16" spans="1:4">
      <c r="A16" s="12" t="s">
        <v>46</v>
      </c>
      <c r="B16" s="8">
        <f>B14*B15/10000</f>
        <v>3.98</v>
      </c>
      <c r="C16" s="8">
        <f>C14*C15/10000</f>
        <v>18.706</v>
      </c>
      <c r="D16" s="8">
        <f>D14*D15/10000</f>
        <v>52.8942</v>
      </c>
    </row>
    <row r="18" ht="17.55" spans="1:4">
      <c r="A18" s="14" t="s">
        <v>47</v>
      </c>
      <c r="B18" s="10">
        <f>B8+B16</f>
        <v>63.88</v>
      </c>
      <c r="C18" s="10">
        <f>C8+C16</f>
        <v>258.306</v>
      </c>
      <c r="D18" s="10">
        <f>D8+D16</f>
        <v>651.8942</v>
      </c>
    </row>
  </sheetData>
  <mergeCells count="3">
    <mergeCell ref="A1:D1"/>
    <mergeCell ref="A3:D3"/>
    <mergeCell ref="A10:D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0392B"/>
  </sheetPr>
  <dimension ref="A1:D21"/>
  <sheetViews>
    <sheetView tabSelected="1" zoomScale="131" zoomScaleNormal="131" workbookViewId="0">
      <selection activeCell="A3" sqref="A3:D3"/>
    </sheetView>
  </sheetViews>
  <sheetFormatPr defaultColWidth="9" defaultRowHeight="16.8" outlineLevelCol="3"/>
  <cols>
    <col min="1" max="1" width="28" customWidth="1"/>
    <col min="2" max="4" width="24.2019230769231" customWidth="1"/>
  </cols>
  <sheetData>
    <row r="1" ht="20.4" spans="1:4">
      <c r="A1" s="1" t="s">
        <v>48</v>
      </c>
    </row>
    <row r="3" ht="17.6" spans="1:4">
      <c r="A3" s="2" t="s">
        <v>49</v>
      </c>
    </row>
    <row r="4" spans="1:4">
      <c r="A4" s="3"/>
      <c r="B4" s="3" t="s">
        <v>2</v>
      </c>
      <c r="C4" s="3" t="s">
        <v>3</v>
      </c>
      <c r="D4" s="3" t="s">
        <v>4</v>
      </c>
    </row>
    <row r="5" spans="1:4">
      <c r="A5" s="4" t="s">
        <v>50</v>
      </c>
      <c r="B5" s="5">
        <f>'1.指标假设'!B14</f>
        <v>425</v>
      </c>
      <c r="C5" s="5">
        <f>'1.指标假设'!C14</f>
        <v>100</v>
      </c>
      <c r="D5" s="5">
        <f>'1.指标假设'!D14</f>
        <v>60</v>
      </c>
    </row>
    <row r="6" spans="1:4">
      <c r="A6" s="4" t="s">
        <v>40</v>
      </c>
      <c r="B6" s="5">
        <f>'2.销售与收入'!B6</f>
        <v>1000</v>
      </c>
      <c r="C6" s="5">
        <f>'2.销售与收入'!C6</f>
        <v>4000</v>
      </c>
      <c r="D6" s="5">
        <f>'2.销售与收入'!D6</f>
        <v>10000</v>
      </c>
    </row>
    <row r="7" spans="1:4">
      <c r="A7" s="4" t="s">
        <v>51</v>
      </c>
      <c r="B7" s="6">
        <f>B5*B6/10000</f>
        <v>42.5</v>
      </c>
      <c r="C7" s="6">
        <f>C5*C6/10000</f>
        <v>40</v>
      </c>
      <c r="D7" s="6">
        <f>D5*D6/10000</f>
        <v>60</v>
      </c>
    </row>
    <row r="8" spans="1:4">
      <c r="A8" s="4" t="s">
        <v>45</v>
      </c>
      <c r="B8" s="5">
        <f>'2.销售与收入'!B14</f>
        <v>200</v>
      </c>
      <c r="C8" s="5">
        <f>'2.销售与收入'!C14</f>
        <v>940</v>
      </c>
      <c r="D8" s="5">
        <f>'2.销售与收入'!D14</f>
        <v>2658</v>
      </c>
    </row>
    <row r="9" spans="1:4">
      <c r="A9" s="4" t="s">
        <v>39</v>
      </c>
      <c r="B9" s="5">
        <f>'2.销售与收入'!B5</f>
        <v>1000</v>
      </c>
      <c r="C9" s="5">
        <f>'2.销售与收入'!C5</f>
        <v>5000</v>
      </c>
      <c r="D9" s="5">
        <f>'2.销售与收入'!D5</f>
        <v>15000</v>
      </c>
    </row>
    <row r="10" spans="1:4">
      <c r="A10" s="4" t="s">
        <v>52</v>
      </c>
      <c r="B10" s="5">
        <f>B9-B8</f>
        <v>800</v>
      </c>
      <c r="C10" s="5">
        <f>C9-C8</f>
        <v>4060</v>
      </c>
      <c r="D10" s="5">
        <f>D9-D8</f>
        <v>12342</v>
      </c>
    </row>
    <row r="11" spans="1:4">
      <c r="A11" s="4" t="s">
        <v>53</v>
      </c>
      <c r="B11" s="6">
        <f>(B10*'1.指标假设'!B23+B8*'1.指标假设'!B24)/10000</f>
        <v>1.86</v>
      </c>
      <c r="C11" s="6">
        <f>(C10*'1.指标假设'!B23+C8*'1.指标假设'!B24)/10000</f>
        <v>9.102</v>
      </c>
      <c r="D11" s="6">
        <f>(D10*'1.指标假设'!B23+D8*'1.指标假设'!B24)/10000</f>
        <v>26.7714</v>
      </c>
    </row>
    <row r="12" spans="1:4">
      <c r="A12" s="11" t="s">
        <v>54</v>
      </c>
      <c r="B12" s="8">
        <f>B7+B11</f>
        <v>44.36</v>
      </c>
      <c r="C12" s="8">
        <f>C7+C11</f>
        <v>49.102</v>
      </c>
      <c r="D12" s="8">
        <f>D7+D11</f>
        <v>86.7714</v>
      </c>
    </row>
    <row r="14" ht="17.6" spans="1:4">
      <c r="A14" s="2" t="s">
        <v>55</v>
      </c>
    </row>
    <row r="15" spans="1:4">
      <c r="A15" s="3"/>
      <c r="B15" s="3" t="s">
        <v>2</v>
      </c>
      <c r="C15" s="3" t="s">
        <v>3</v>
      </c>
      <c r="D15" s="3" t="s">
        <v>4</v>
      </c>
    </row>
    <row r="16" spans="1:4">
      <c r="A16" s="4" t="s">
        <v>56</v>
      </c>
      <c r="B16" s="5">
        <f>'1.指标假设'!B33</f>
        <v>175</v>
      </c>
      <c r="C16" s="5">
        <f>'1.指标假设'!C33</f>
        <v>270</v>
      </c>
      <c r="D16" s="5">
        <f>'1.指标假设'!D33</f>
        <v>395</v>
      </c>
    </row>
    <row r="17" spans="1:4">
      <c r="A17" s="4" t="s">
        <v>57</v>
      </c>
      <c r="B17" s="5">
        <f>'1.指标假设'!B34</f>
        <v>20</v>
      </c>
      <c r="C17" s="5">
        <f>'1.指标假设'!C34</f>
        <v>30</v>
      </c>
      <c r="D17" s="5">
        <f>'1.指标假设'!D34</f>
        <v>50</v>
      </c>
    </row>
    <row r="18" spans="1:4">
      <c r="A18" s="4" t="s">
        <v>58</v>
      </c>
      <c r="B18" s="5">
        <f>'1.指标假设'!B35*12</f>
        <v>9.6</v>
      </c>
      <c r="C18" s="5">
        <f>'1.指标假设'!C35*12</f>
        <v>48</v>
      </c>
      <c r="D18" s="5">
        <f>'1.指标假设'!D35*12</f>
        <v>96</v>
      </c>
    </row>
    <row r="19" spans="1:4">
      <c r="A19" s="4" t="s">
        <v>59</v>
      </c>
      <c r="B19" s="5">
        <f>'1.指标假设'!B36*12</f>
        <v>3</v>
      </c>
      <c r="C19" s="5">
        <f>'1.指标假设'!C36*12</f>
        <v>9.6</v>
      </c>
      <c r="D19" s="5">
        <f>'1.指标假设'!D36*12</f>
        <v>20.4</v>
      </c>
    </row>
    <row r="20" spans="1:4">
      <c r="A20" s="4" t="s">
        <v>60</v>
      </c>
      <c r="B20" s="5">
        <f>'1.指标假设'!B37</f>
        <v>10</v>
      </c>
      <c r="C20" s="5">
        <f>'1.指标假设'!C37</f>
        <v>30</v>
      </c>
      <c r="D20" s="5">
        <f>'1.指标假设'!D37</f>
        <v>40</v>
      </c>
    </row>
    <row r="21" spans="1:4">
      <c r="A21" s="11" t="s">
        <v>61</v>
      </c>
      <c r="B21" s="8">
        <f>SUM(B16:B20)</f>
        <v>217.6</v>
      </c>
      <c r="C21" s="8">
        <f>SUM(C16:C20)</f>
        <v>387.6</v>
      </c>
      <c r="D21" s="8">
        <f>SUM(D16:D20)</f>
        <v>601.4</v>
      </c>
    </row>
  </sheetData>
  <mergeCells count="3">
    <mergeCell ref="A1:D1"/>
    <mergeCell ref="A3:D3"/>
    <mergeCell ref="A14:D1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AE60"/>
  </sheetPr>
  <dimension ref="A1:D12"/>
  <sheetViews>
    <sheetView zoomScale="138" zoomScaleNormal="138" workbookViewId="0">
      <selection activeCell="A1" sqref="A1:D1"/>
    </sheetView>
  </sheetViews>
  <sheetFormatPr defaultColWidth="9" defaultRowHeight="16.8" outlineLevelCol="3"/>
  <cols>
    <col min="1" max="1" width="28" customWidth="1"/>
    <col min="2" max="4" width="27.8846153846154" customWidth="1"/>
  </cols>
  <sheetData>
    <row r="1" ht="20.4" spans="1:4">
      <c r="A1" s="1" t="s">
        <v>62</v>
      </c>
    </row>
    <row r="3" spans="1:4">
      <c r="A3" s="3"/>
      <c r="B3" s="3" t="s">
        <v>2</v>
      </c>
      <c r="C3" s="3" t="s">
        <v>3</v>
      </c>
      <c r="D3" s="3" t="s">
        <v>4</v>
      </c>
    </row>
    <row r="4" spans="1:4">
      <c r="A4" s="4" t="s">
        <v>38</v>
      </c>
      <c r="B4" s="5">
        <f>'2.销售与收入'!B8</f>
        <v>59.9</v>
      </c>
      <c r="C4" s="5">
        <f>'2.销售与收入'!C8</f>
        <v>239.6</v>
      </c>
      <c r="D4" s="5">
        <f>'2.销售与收入'!D8</f>
        <v>599</v>
      </c>
    </row>
    <row r="5" spans="1:4">
      <c r="A5" s="4" t="s">
        <v>42</v>
      </c>
      <c r="B5" s="5">
        <f>'2.销售与收入'!B16</f>
        <v>3.98</v>
      </c>
      <c r="C5" s="5">
        <f>'2.销售与收入'!C16</f>
        <v>18.706</v>
      </c>
      <c r="D5" s="5">
        <f>'2.销售与收入'!D16</f>
        <v>52.8942</v>
      </c>
    </row>
    <row r="6" spans="1:4">
      <c r="A6" s="4" t="s">
        <v>63</v>
      </c>
      <c r="B6" s="8">
        <f>B4+B5</f>
        <v>63.88</v>
      </c>
      <c r="C6" s="8">
        <f>C4+C5</f>
        <v>258.306</v>
      </c>
      <c r="D6" s="8">
        <f>D4+D5</f>
        <v>651.8942</v>
      </c>
    </row>
    <row r="7" spans="1:4">
      <c r="A7" s="4" t="s">
        <v>49</v>
      </c>
      <c r="B7" s="5">
        <f>'3.成本费用'!B12</f>
        <v>44.36</v>
      </c>
      <c r="C7" s="5">
        <f>'3.成本费用'!C12</f>
        <v>49.102</v>
      </c>
      <c r="D7" s="5">
        <f>'3.成本费用'!D12</f>
        <v>86.7714</v>
      </c>
    </row>
    <row r="8" spans="1:4">
      <c r="A8" s="4" t="s">
        <v>64</v>
      </c>
      <c r="B8" s="6">
        <f>B6-B7</f>
        <v>19.52</v>
      </c>
      <c r="C8" s="6">
        <f>C6-C7</f>
        <v>209.204</v>
      </c>
      <c r="D8" s="6">
        <f>D6-D7</f>
        <v>565.1228</v>
      </c>
    </row>
    <row r="9" spans="1:4">
      <c r="A9" s="4" t="s">
        <v>65</v>
      </c>
      <c r="B9" s="9">
        <f>B8/B6</f>
        <v>0.3055729492799</v>
      </c>
      <c r="C9" s="9">
        <f>C8/C6</f>
        <v>0.809907628936223</v>
      </c>
      <c r="D9" s="9">
        <f>D8/D6</f>
        <v>0.866893431480139</v>
      </c>
    </row>
    <row r="10" spans="1:4">
      <c r="A10" s="4" t="s">
        <v>55</v>
      </c>
      <c r="B10" s="5">
        <f>'3.成本费用'!B21</f>
        <v>217.6</v>
      </c>
      <c r="C10" s="5">
        <f>'3.成本费用'!C21</f>
        <v>387.6</v>
      </c>
      <c r="D10" s="5">
        <f>'3.成本费用'!D21</f>
        <v>601.4</v>
      </c>
    </row>
    <row r="11" ht="17.55" spans="1:4">
      <c r="A11" s="4" t="s">
        <v>66</v>
      </c>
      <c r="B11" s="10">
        <f>B8-B10</f>
        <v>-198.08</v>
      </c>
      <c r="C11" s="10">
        <f>C8-C10</f>
        <v>-178.396</v>
      </c>
      <c r="D11" s="10">
        <f>D8-D10</f>
        <v>-36.2772</v>
      </c>
    </row>
    <row r="12" spans="1:4">
      <c r="A12" s="4" t="s">
        <v>67</v>
      </c>
      <c r="B12" s="9">
        <f>B11/B6</f>
        <v>-3.10081402629931</v>
      </c>
      <c r="C12" s="9">
        <f>C11/C6</f>
        <v>-0.690638235271345</v>
      </c>
      <c r="D12" s="9">
        <f>D11/D6</f>
        <v>-0.0556489074454106</v>
      </c>
    </row>
  </sheetData>
  <mergeCells count="1">
    <mergeCell ref="A1: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E44AD"/>
  </sheetPr>
  <dimension ref="A1:D18"/>
  <sheetViews>
    <sheetView zoomScale="140" zoomScaleNormal="140" workbookViewId="0">
      <selection activeCell="A1" sqref="A1:D1"/>
    </sheetView>
  </sheetViews>
  <sheetFormatPr defaultColWidth="9" defaultRowHeight="16.8" outlineLevelCol="3"/>
  <cols>
    <col min="1" max="1" width="30" customWidth="1"/>
    <col min="2" max="4" width="25.7980769230769" customWidth="1"/>
  </cols>
  <sheetData>
    <row r="1" ht="20.4" spans="1:4">
      <c r="A1" s="1" t="s">
        <v>68</v>
      </c>
    </row>
    <row r="3" ht="17.6" spans="1:4">
      <c r="A3" s="2" t="s">
        <v>69</v>
      </c>
    </row>
    <row r="4" spans="1:4">
      <c r="A4" s="3"/>
      <c r="B4" s="3" t="s">
        <v>70</v>
      </c>
      <c r="C4" s="3" t="s">
        <v>71</v>
      </c>
      <c r="D4" s="3"/>
    </row>
    <row r="5" spans="1:4">
      <c r="A5" s="4" t="s">
        <v>72</v>
      </c>
      <c r="B5" s="5">
        <v>599</v>
      </c>
      <c r="C5" s="5">
        <v>599</v>
      </c>
      <c r="D5" s="5"/>
    </row>
    <row r="6" spans="1:4">
      <c r="A6" s="4" t="s">
        <v>73</v>
      </c>
      <c r="B6" s="5">
        <v>425</v>
      </c>
      <c r="C6" s="5">
        <v>100</v>
      </c>
      <c r="D6" s="5"/>
    </row>
    <row r="7" spans="1:4">
      <c r="A7" s="4" t="s">
        <v>74</v>
      </c>
      <c r="B7" s="5">
        <f>B5-B6</f>
        <v>174</v>
      </c>
      <c r="C7" s="5">
        <f>C5-C6</f>
        <v>499</v>
      </c>
      <c r="D7" s="5"/>
    </row>
    <row r="8" spans="1:4">
      <c r="A8" s="4" t="s">
        <v>75</v>
      </c>
      <c r="B8" s="5">
        <f>199*0.2</f>
        <v>39.8</v>
      </c>
      <c r="C8" s="5">
        <f>199*0.2</f>
        <v>39.8</v>
      </c>
      <c r="D8" s="5"/>
    </row>
    <row r="9" spans="1:4">
      <c r="A9" s="4" t="s">
        <v>76</v>
      </c>
      <c r="B9" s="6">
        <f>B8*(1+0.7+0.49)</f>
        <v>87.162</v>
      </c>
      <c r="C9" s="6">
        <f>C8*(1+0.7+0.49)</f>
        <v>87.162</v>
      </c>
      <c r="D9" s="5"/>
    </row>
    <row r="10" spans="1:4">
      <c r="A10" s="4" t="s">
        <v>77</v>
      </c>
      <c r="B10" s="5">
        <f>B7+B9</f>
        <v>261.162</v>
      </c>
      <c r="C10" s="5">
        <f>C7+C9</f>
        <v>586.162</v>
      </c>
      <c r="D10" s="5"/>
    </row>
    <row r="11" spans="1:4">
      <c r="A11" s="4" t="s">
        <v>78</v>
      </c>
      <c r="B11" s="5">
        <v>300</v>
      </c>
      <c r="C11" s="5">
        <v>250</v>
      </c>
      <c r="D11" s="5"/>
    </row>
    <row r="12" spans="1:4">
      <c r="A12" s="4" t="s">
        <v>69</v>
      </c>
      <c r="B12" s="6">
        <f>B10/B11</f>
        <v>0.87054</v>
      </c>
      <c r="C12" s="6">
        <f>C10/C11</f>
        <v>2.344648</v>
      </c>
      <c r="D12" s="5"/>
    </row>
    <row r="14" ht="17.6" spans="1:4">
      <c r="A14" s="2" t="s">
        <v>79</v>
      </c>
    </row>
    <row r="15" spans="1:4">
      <c r="A15" s="3" t="s">
        <v>22</v>
      </c>
      <c r="B15" s="3" t="s">
        <v>80</v>
      </c>
      <c r="C15" s="3" t="s">
        <v>81</v>
      </c>
      <c r="D15" s="3" t="s">
        <v>82</v>
      </c>
    </row>
    <row r="16" spans="1:4">
      <c r="A16" s="7">
        <v>0.1</v>
      </c>
      <c r="B16" s="5">
        <v>44</v>
      </c>
      <c r="C16" s="6">
        <f>(174+B16)/300</f>
        <v>0.726666666666667</v>
      </c>
      <c r="D16" s="6">
        <f>(499+B16)/250</f>
        <v>2.172</v>
      </c>
    </row>
    <row r="17" spans="1:4">
      <c r="A17" s="7">
        <v>0.2</v>
      </c>
      <c r="B17" s="5">
        <v>87</v>
      </c>
      <c r="C17" s="6">
        <f>(174+B17)/300</f>
        <v>0.87</v>
      </c>
      <c r="D17" s="6">
        <f>(499+B17)/250</f>
        <v>2.344</v>
      </c>
    </row>
    <row r="18" spans="1:4">
      <c r="A18" s="7">
        <v>0.3</v>
      </c>
      <c r="B18" s="5">
        <v>131</v>
      </c>
      <c r="C18" s="6">
        <f>(174+B18)/300</f>
        <v>1.01666666666667</v>
      </c>
      <c r="D18" s="6">
        <f>(499+B18)/250</f>
        <v>2.52</v>
      </c>
    </row>
  </sheetData>
  <mergeCells count="3">
    <mergeCell ref="A1:D1"/>
    <mergeCell ref="A3:D3"/>
    <mergeCell ref="A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1.指标假设</vt:lpstr>
      <vt:lpstr>2.销售与收入</vt:lpstr>
      <vt:lpstr>3.成本费用</vt:lpstr>
      <vt:lpstr>4.利润表</vt:lpstr>
      <vt:lpstr>5.单位经济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高宇驰</cp:lastModifiedBy>
  <dcterms:created xsi:type="dcterms:W3CDTF">2026-07-23T07:06:00Z</dcterms:created>
  <dcterms:modified xsi:type="dcterms:W3CDTF">2026-07-23T00:33:55Z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4EB8EDE16BB6719E81DD606A4B7CF752_42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0</vt:i4>
  </property>
</Properties>
</file>